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resdoriocibraco-my.sharepoint.com/personal/ana_santos_piresdoriocibraco_com_br/Documents/Área de Trabalho/FACULDADE/Curso - Santander - Excel/Formatação condicional + Validação de dados/Projeto/"/>
    </mc:Choice>
  </mc:AlternateContent>
  <xr:revisionPtr revIDLastSave="490" documentId="8_{C3E20306-171F-4EF5-8E23-DF6350D1C8DC}" xr6:coauthVersionLast="47" xr6:coauthVersionMax="47" xr10:uidLastSave="{58CC17FE-935F-4C99-A379-3957FFB14307}"/>
  <bookViews>
    <workbookView xWindow="-120" yWindow="-120" windowWidth="29040" windowHeight="15720" xr2:uid="{E8E68628-0CCC-4FC0-8051-A164F90BC424}"/>
  </bookViews>
  <sheets>
    <sheet name="app" sheetId="1" r:id="rId1"/>
    <sheet name="tbl_apoio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invest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B17" i="2"/>
  <c r="B18" i="2"/>
  <c r="B19" i="2"/>
  <c r="B20" i="2"/>
  <c r="B21" i="2"/>
  <c r="B16" i="2"/>
  <c r="B11" i="2"/>
  <c r="B12" i="2"/>
  <c r="B13" i="2"/>
  <c r="B14" i="2"/>
  <c r="B15" i="2"/>
  <c r="B10" i="2"/>
  <c r="B5" i="2"/>
  <c r="B6" i="2"/>
  <c r="B7" i="2"/>
  <c r="B8" i="2"/>
  <c r="B9" i="2"/>
  <c r="B4" i="2"/>
  <c r="C37" i="1" s="1"/>
  <c r="D22" i="1"/>
  <c r="D23" i="1" s="1"/>
  <c r="D16" i="1"/>
  <c r="C26" i="1"/>
  <c r="D26" i="1" s="1"/>
  <c r="C27" i="1"/>
  <c r="D27" i="1" s="1"/>
  <c r="C28" i="1"/>
  <c r="D28" i="1" s="1"/>
  <c r="C29" i="1"/>
  <c r="D29" i="1" s="1"/>
  <c r="C30" i="1"/>
  <c r="D30" i="1" s="1"/>
  <c r="C39" i="1" l="1"/>
  <c r="C38" i="1"/>
  <c r="C36" i="1"/>
  <c r="C41" i="1"/>
  <c r="D41" i="1" s="1"/>
  <c r="C40" i="1"/>
  <c r="D37" i="1"/>
  <c r="D38" i="1"/>
  <c r="D40" i="1"/>
  <c r="D39" i="1"/>
  <c r="D36" i="1"/>
  <c r="D42" i="1" l="1"/>
</calcChain>
</file>

<file path=xl/sharedStrings.xml><?xml version="1.0" encoding="utf-8"?>
<sst xmlns="http://schemas.openxmlformats.org/spreadsheetml/2006/main" count="69" uniqueCount="33">
  <si>
    <t>Quanto Investir por mês?</t>
  </si>
  <si>
    <t>Por quantos anos ?</t>
  </si>
  <si>
    <t>Taxa de Rendimento Mensal?</t>
  </si>
  <si>
    <t>Patrimônio acumulado?</t>
  </si>
  <si>
    <t>Dividendos mensais?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</si>
  <si>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</si>
  <si>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</si>
  <si>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</si>
  <si>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</si>
  <si>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</si>
  <si>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</si>
  <si>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</si>
  <si>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</si>
  <si>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</si>
  <si>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</si>
  <si>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CONFIGURAÇÕES</t>
  </si>
  <si>
    <t>PERFIL</t>
  </si>
  <si>
    <t>Conservador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</si>
  <si>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</si>
  <si>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</si>
  <si>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</si>
  <si>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</si>
  <si>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</si>
  <si>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</si>
  <si>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</si>
  <si>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</si>
  <si>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</si>
  <si>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</si>
  <si>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%</t>
  </si>
  <si>
    <t>CHAVE</t>
  </si>
  <si>
    <t>Moderado</t>
  </si>
  <si>
    <t>Agressivo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</si>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</sst>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6" tint="-0.499984740745262"/>
      <name val="Lucida Sans"/>
      <family val="2"/>
    </font>
    <font>
      <sz val="11"/>
      <color theme="1"/>
      <name val="Segoe UI Historic"/>
      <family val="2"/>
    </font>
    <font>
      <b/>
      <sz val="10"/>
      <color theme="6" tint="-0.499984740745262"/>
      <name val="Lucida Sans"/>
      <family val="2"/>
    </font>
    <font>
      <sz val="10"/>
      <color theme="1"/>
      <name val="Segoe UI Historic"/>
      <family val="2"/>
    </font>
    <font>
      <b/>
      <sz val="16"/>
      <color theme="8" tint="-0.499984740745262"/>
      <name val="Lucida Sans"/>
      <family val="2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235F4B"/>
      <name val="Aptos Narrow"/>
      <family val="2"/>
      <scheme val="minor"/>
    </font>
    <font>
      <b/>
      <sz val="11"/>
      <color rgb="FF1B493A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5FC5A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 style="medium">
        <color theme="6" tint="-0.499984740745262"/>
      </right>
      <top style="medium">
        <color theme="6" tint="-0.499984740745262"/>
      </top>
      <bottom/>
      <diagonal/>
    </border>
    <border>
      <left style="medium">
        <color theme="6" tint="-0.499984740745262"/>
      </left>
      <right/>
      <top style="medium">
        <color theme="6" tint="-0.499984740745262"/>
      </top>
      <bottom style="thin">
        <color rgb="FFDEDEDE"/>
      </bottom>
      <diagonal/>
    </border>
    <border>
      <left/>
      <right/>
      <top style="medium">
        <color theme="6" tint="-0.499984740745262"/>
      </top>
      <bottom style="thin">
        <color rgb="FFDEDEDE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/>
      <right/>
      <top style="medium">
        <color theme="8" tint="-0.499984740745262"/>
      </top>
      <bottom/>
      <diagonal/>
    </border>
    <border>
      <left/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6" tint="-0.499984740745262"/>
      </left>
      <right/>
      <top style="medium">
        <color theme="6" tint="-0.499984740745262"/>
      </top>
      <bottom/>
      <diagonal/>
    </border>
    <border>
      <left/>
      <right/>
      <top style="medium">
        <color theme="6" tint="-0.499984740745262"/>
      </top>
      <bottom/>
      <diagonal/>
    </border>
    <border>
      <left style="medium">
        <color theme="8" tint="-0.49998474074526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8" tint="-0.499984740745262"/>
      </right>
      <top style="thin">
        <color theme="2"/>
      </top>
      <bottom style="thin">
        <color theme="0" tint="-4.9989318521683403E-2"/>
      </bottom>
      <diagonal/>
    </border>
    <border>
      <left style="medium">
        <color theme="8" tint="-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8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8" tint="-0.499984740745262"/>
      </left>
      <right style="thin">
        <color theme="0" tint="-4.9989318521683403E-2"/>
      </right>
      <top style="thin">
        <color theme="0" tint="-4.9989318521683403E-2"/>
      </top>
      <bottom style="medium">
        <color theme="8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8" tint="-0.499984740745262"/>
      </bottom>
      <diagonal/>
    </border>
    <border>
      <left style="thin">
        <color theme="0" tint="-4.9989318521683403E-2"/>
      </left>
      <right style="medium">
        <color theme="8" tint="-0.499984740745262"/>
      </right>
      <top style="thin">
        <color theme="0" tint="-4.9989318521683403E-2"/>
      </top>
      <bottom style="medium">
        <color theme="8" tint="-0.499984740745262"/>
      </bottom>
      <diagonal/>
    </border>
    <border>
      <left style="medium">
        <color theme="6" tint="-0.49998474074526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6" tint="-0.499984740745262"/>
      </right>
      <top style="thin">
        <color theme="2" tint="-0.24994659260841701"/>
      </top>
      <bottom style="thin">
        <color theme="0" tint="-4.9989318521683403E-2"/>
      </bottom>
      <diagonal/>
    </border>
    <border>
      <left style="medium">
        <color theme="6" tint="-0.49998474074526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6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6" tint="-0.499984740745262"/>
      </left>
      <right style="thin">
        <color theme="0" tint="-4.9989318521683403E-2"/>
      </right>
      <top style="thin">
        <color theme="0" tint="-4.9989318521683403E-2"/>
      </top>
      <bottom style="medium">
        <color theme="6" tint="-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6" tint="-0.499984740745262"/>
      </bottom>
      <diagonal/>
    </border>
    <border>
      <left style="thin">
        <color theme="0" tint="-4.9989318521683403E-2"/>
      </left>
      <right style="medium">
        <color theme="6" tint="-0.499984740745262"/>
      </right>
      <top style="thin">
        <color theme="0" tint="-4.9989318521683403E-2"/>
      </top>
      <bottom style="medium">
        <color theme="6" tint="-0.499984740745262"/>
      </bottom>
      <diagonal/>
    </border>
    <border>
      <left style="medium">
        <color theme="6" tint="-0.499984740745262"/>
      </left>
      <right style="thin">
        <color theme="0" tint="-4.9989318521683403E-2"/>
      </right>
      <top style="thin">
        <color rgb="FFDEDEDE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DEDEDE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6" tint="-0.499984740745262"/>
      </right>
      <top/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6" fillId="3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4" borderId="0" xfId="0" applyFill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164" fontId="0" fillId="7" borderId="0" xfId="0" applyNumberFormat="1" applyFill="1"/>
    <xf numFmtId="0" fontId="1" fillId="3" borderId="0" xfId="1" applyFill="1"/>
    <xf numFmtId="0" fontId="12" fillId="3" borderId="0" xfId="1" applyFont="1" applyFill="1" applyAlignment="1">
      <alignment horizontal="center" vertical="center"/>
    </xf>
    <xf numFmtId="0" fontId="11" fillId="3" borderId="0" xfId="1" applyFont="1" applyFill="1" applyBorder="1" applyAlignment="1">
      <alignment horizontal="left" vertical="center"/>
    </xf>
    <xf numFmtId="164" fontId="0" fillId="0" borderId="11" xfId="0" applyNumberFormat="1" applyBorder="1" applyAlignment="1">
      <alignment horizontal="center" vertical="center"/>
    </xf>
    <xf numFmtId="164" fontId="0" fillId="8" borderId="17" xfId="0" applyNumberFormat="1" applyFill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5" fillId="8" borderId="20" xfId="0" applyFont="1" applyFill="1" applyBorder="1" applyAlignment="1">
      <alignment horizontal="left" vertical="center" indent="1"/>
    </xf>
    <xf numFmtId="0" fontId="2" fillId="0" borderId="21" xfId="0" applyFont="1" applyBorder="1" applyAlignment="1">
      <alignment horizontal="center" vertical="center"/>
    </xf>
    <xf numFmtId="10" fontId="2" fillId="0" borderId="21" xfId="0" applyNumberFormat="1" applyFont="1" applyBorder="1" applyAlignment="1">
      <alignment horizontal="center" vertical="center"/>
    </xf>
    <xf numFmtId="8" fontId="9" fillId="8" borderId="21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left" vertical="center" indent="1"/>
    </xf>
    <xf numFmtId="8" fontId="9" fillId="8" borderId="24" xfId="0" applyNumberFormat="1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left" vertical="center" indent="1"/>
    </xf>
    <xf numFmtId="8" fontId="0" fillId="8" borderId="26" xfId="0" applyNumberFormat="1" applyFill="1" applyBorder="1"/>
    <xf numFmtId="8" fontId="0" fillId="8" borderId="27" xfId="0" applyNumberFormat="1" applyFill="1" applyBorder="1"/>
    <xf numFmtId="8" fontId="0" fillId="8" borderId="13" xfId="0" applyNumberFormat="1" applyFill="1" applyBorder="1"/>
    <xf numFmtId="8" fontId="0" fillId="8" borderId="21" xfId="0" applyNumberFormat="1" applyFill="1" applyBorder="1"/>
    <xf numFmtId="8" fontId="0" fillId="8" borderId="23" xfId="0" applyNumberFormat="1" applyFill="1" applyBorder="1"/>
    <xf numFmtId="8" fontId="0" fillId="8" borderId="24" xfId="0" applyNumberFormat="1" applyFill="1" applyBorder="1"/>
    <xf numFmtId="0" fontId="0" fillId="0" borderId="28" xfId="0" applyBorder="1"/>
    <xf numFmtId="0" fontId="0" fillId="0" borderId="28" xfId="0" applyBorder="1" applyAlignment="1">
      <alignment horizontal="left" vertical="center"/>
    </xf>
    <xf numFmtId="0" fontId="2" fillId="9" borderId="29" xfId="0" applyFont="1" applyFill="1" applyBorder="1"/>
    <xf numFmtId="0" fontId="2" fillId="9" borderId="30" xfId="0" applyFont="1" applyFill="1" applyBorder="1"/>
    <xf numFmtId="0" fontId="2" fillId="9" borderId="30" xfId="0" applyFont="1" applyFill="1" applyBorder="1" applyAlignment="1">
      <alignment horizontal="left" vertical="center"/>
    </xf>
    <xf numFmtId="0" fontId="2" fillId="9" borderId="31" xfId="0" applyFont="1" applyFill="1" applyBorder="1" applyAlignment="1">
      <alignment horizontal="center" vertical="center"/>
    </xf>
    <xf numFmtId="0" fontId="0" fillId="0" borderId="32" xfId="0" applyBorder="1"/>
    <xf numFmtId="0" fontId="0" fillId="0" borderId="0" xfId="0" applyAlignment="1">
      <alignment horizontal="left" vertical="center"/>
    </xf>
    <xf numFmtId="9" fontId="0" fillId="0" borderId="33" xfId="0" applyNumberFormat="1" applyBorder="1" applyAlignment="1">
      <alignment horizontal="center" vertical="center"/>
    </xf>
    <xf numFmtId="0" fontId="0" fillId="0" borderId="34" xfId="0" applyBorder="1"/>
    <xf numFmtId="9" fontId="0" fillId="0" borderId="35" xfId="0" applyNumberFormat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164" fontId="0" fillId="4" borderId="0" xfId="0" applyNumberFormat="1" applyFill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0" fontId="7" fillId="8" borderId="9" xfId="0" applyFont="1" applyFill="1" applyBorder="1" applyAlignment="1">
      <alignment horizontal="left" vertical="center" indent="1"/>
    </xf>
    <xf numFmtId="0" fontId="7" fillId="8" borderId="10" xfId="0" applyFont="1" applyFill="1" applyBorder="1" applyAlignment="1">
      <alignment horizontal="left" vertical="center" indent="1"/>
    </xf>
    <xf numFmtId="0" fontId="7" fillId="8" borderId="12" xfId="0" applyFont="1" applyFill="1" applyBorder="1" applyAlignment="1">
      <alignment horizontal="left" vertical="center" indent="1"/>
    </xf>
    <xf numFmtId="0" fontId="7" fillId="8" borderId="13" xfId="0" applyFont="1" applyFill="1" applyBorder="1" applyAlignment="1">
      <alignment horizontal="left" vertical="center" indent="1"/>
    </xf>
    <xf numFmtId="0" fontId="7" fillId="8" borderId="15" xfId="0" applyFont="1" applyFill="1" applyBorder="1" applyAlignment="1">
      <alignment horizontal="left" vertical="center" indent="1"/>
    </xf>
    <xf numFmtId="0" fontId="7" fillId="8" borderId="16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 indent="1"/>
    </xf>
    <xf numFmtId="0" fontId="5" fillId="8" borderId="10" xfId="0" applyFont="1" applyFill="1" applyBorder="1" applyAlignment="1">
      <alignment horizontal="left" vertical="center" indent="1"/>
    </xf>
    <xf numFmtId="0" fontId="5" fillId="8" borderId="20" xfId="0" applyFont="1" applyFill="1" applyBorder="1" applyAlignment="1">
      <alignment horizontal="left" vertical="center" indent="1"/>
    </xf>
    <xf numFmtId="0" fontId="5" fillId="8" borderId="13" xfId="0" applyFont="1" applyFill="1" applyBorder="1" applyAlignment="1">
      <alignment horizontal="left" vertical="center" indent="1"/>
    </xf>
    <xf numFmtId="0" fontId="5" fillId="8" borderId="22" xfId="0" applyFont="1" applyFill="1" applyBorder="1" applyAlignment="1">
      <alignment horizontal="left" vertical="center" indent="1"/>
    </xf>
    <xf numFmtId="0" fontId="5" fillId="8" borderId="23" xfId="0" applyFont="1" applyFill="1" applyBorder="1" applyAlignment="1">
      <alignment horizontal="left" vertical="center" indent="1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colors>
    <mruColors>
      <color rgb="FF1B493A"/>
      <color rgb="FF235F4B"/>
      <color rgb="FF2E7E63"/>
      <color rgb="FF5FC5A3"/>
      <color rgb="FFECECEC"/>
      <color rgb="FFC39BE1"/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D-460C-801E-FB75AFBA4E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A5-4C6D-BA62-EDE3C39EAA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A5-4C6D-BA62-EDE3C39EAA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A5-4C6D-BA62-EDE3C39EAA6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4A5-4C6D-BA62-EDE3C39EAA6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A5-4C6D-BA62-EDE3C39EAA63}"/>
              </c:ext>
            </c:extLst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D-460C-801E-FB75AFBA4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161923</xdr:colOff>
      <xdr:row>1</xdr:row>
      <xdr:rowOff>0</xdr:rowOff>
    </xdr:from>
    <xdr:to>
      <xdr:col>4</xdr:col>
      <xdr:colOff>149270</xdr:colOff>
      <xdr:row>10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B19D2A-AE4D-4DA9-BF93-7EC6CEA2EF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61923" y="190500"/>
          <a:ext cx="6159547" cy="1819275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44</xdr:row>
      <xdr:rowOff>42862</xdr:rowOff>
    </xdr:from>
    <xdr:to>
      <xdr:col>3</xdr:col>
      <xdr:colOff>400050</xdr:colOff>
      <xdr:row>58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686D8B-B711-0EF0-2655-C93D33D0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104776</xdr:colOff>
      <xdr:row>31</xdr:row>
      <xdr:rowOff>28576</xdr:rowOff>
    </xdr:from>
    <xdr:to>
      <xdr:col>2</xdr:col>
      <xdr:colOff>314326</xdr:colOff>
      <xdr:row>31</xdr:row>
      <xdr:rowOff>238126</xdr:rowOff>
    </xdr:to>
    <xdr:pic>
      <xdr:nvPicPr>
        <xdr:cNvPr id="5" name="Gráfico 4" descr="Ícone do menu de hambúrguer estrutura de tópicos">
          <a:extLst>
            <a:ext uri="{FF2B5EF4-FFF2-40B4-BE49-F238E27FC236}">
              <a16:creationId xmlns:a16="http://schemas.microsoft.com/office/drawing/2014/main" id="{32A50440-47EC-760E-5A50-0EE3BF90C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43301" y="6991351"/>
          <a:ext cx="209550" cy="209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A146-0DB0-4333-98E6-173B3A5042C7}">
  <dimension ref="A1:F60"/>
  <sheetViews>
    <sheetView showGridLines="0" tabSelected="1" workbookViewId="0">
      <selection activeCell="D14" sqref="D14"/>
    </sheetView>
  </sheetViews>
  <sheetFormatPr defaultColWidth="0" defaultRowHeight="15" zeroHeight="1" x14ac:dyDescent="0.25"/>
  <cols>
    <col min="1" max="1" width="4.7109375" customWidth="1"/>
    <col min="2" max="2" width="46.85546875" customWidth="1"/>
    <col min="3" max="3" width="22.5703125" customWidth="1"/>
    <col min="4" max="4" width="18.42578125" customWidth="1"/>
    <col min="5" max="5" width="4.85546875" customWidth="1"/>
    <col min="6" max="6" width="11.5703125" hidden="1" customWidth="1"/>
    <col min="7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ht="15.75" thickBot="1" x14ac:dyDescent="0.3"/>
    <row r="13" spans="2:4" ht="31.5" customHeight="1" x14ac:dyDescent="0.25">
      <c r="B13" s="44" t="s">
        <v>15</v>
      </c>
      <c r="C13" s="45"/>
      <c r="D13" s="46"/>
    </row>
    <row r="14" spans="2:4" ht="20.100000000000001" customHeight="1" x14ac:dyDescent="0.25">
      <c r="B14" s="47" t="s">
        <v>13</v>
      </c>
      <c r="C14" s="48"/>
      <c r="D14" s="14">
        <v>5000</v>
      </c>
    </row>
    <row r="15" spans="2:4" ht="20.100000000000001" customHeight="1" x14ac:dyDescent="0.25">
      <c r="B15" s="49" t="s">
        <v>14</v>
      </c>
      <c r="C15" s="50"/>
      <c r="D15" s="43">
        <v>8.8999999999999999E-3</v>
      </c>
    </row>
    <row r="16" spans="2:4" ht="20.100000000000001" customHeight="1" thickBot="1" x14ac:dyDescent="0.3">
      <c r="B16" s="51" t="s">
        <v>32</v>
      </c>
      <c r="C16" s="52"/>
      <c r="D16" s="15">
        <f>salario*30%</f>
        <v>1500</v>
      </c>
    </row>
    <row r="17" spans="1:4" ht="15.75" thickBot="1" x14ac:dyDescent="0.3"/>
    <row r="18" spans="1:4" ht="31.5" customHeight="1" x14ac:dyDescent="0.25">
      <c r="B18" s="55" t="s">
        <v>5</v>
      </c>
      <c r="C18" s="56"/>
      <c r="D18" s="57"/>
    </row>
    <row r="19" spans="1:4" ht="20.100000000000001" customHeight="1" x14ac:dyDescent="0.25">
      <c r="B19" s="58" t="s">
        <v>0</v>
      </c>
      <c r="C19" s="59"/>
      <c r="D19" s="16">
        <v>1500</v>
      </c>
    </row>
    <row r="20" spans="1:4" ht="20.100000000000001" customHeight="1" x14ac:dyDescent="0.25">
      <c r="B20" s="60" t="s">
        <v>1</v>
      </c>
      <c r="C20" s="61"/>
      <c r="D20" s="18">
        <v>5</v>
      </c>
    </row>
    <row r="21" spans="1:4" ht="20.100000000000001" customHeight="1" x14ac:dyDescent="0.25">
      <c r="B21" s="60" t="s">
        <v>2</v>
      </c>
      <c r="C21" s="61"/>
      <c r="D21" s="19">
        <v>1.0789999999999999E-2</v>
      </c>
    </row>
    <row r="22" spans="1:4" ht="20.100000000000001" customHeight="1" x14ac:dyDescent="0.25">
      <c r="B22" s="60" t="s">
        <v>3</v>
      </c>
      <c r="C22" s="61"/>
      <c r="D22" s="20">
        <f>FV(taxa_mensal,qtd_anos*12,Aporte*-1)</f>
        <v>125665.37099773147</v>
      </c>
    </row>
    <row r="23" spans="1:4" ht="20.100000000000001" customHeight="1" thickBot="1" x14ac:dyDescent="0.3">
      <c r="B23" s="62" t="s">
        <v>4</v>
      </c>
      <c r="C23" s="63"/>
      <c r="D23" s="22">
        <f>D22*Rendimento_carteira</f>
        <v>1118.4218018798101</v>
      </c>
    </row>
    <row r="24" spans="1:4" ht="15.75" thickBot="1" x14ac:dyDescent="0.3"/>
    <row r="25" spans="1:4" ht="31.5" customHeight="1" x14ac:dyDescent="0.25">
      <c r="B25" s="53" t="s">
        <v>6</v>
      </c>
      <c r="C25" s="54"/>
      <c r="D25" s="3" t="s">
        <v>12</v>
      </c>
    </row>
    <row r="26" spans="1:4" ht="20.100000000000001" customHeight="1" x14ac:dyDescent="0.25">
      <c r="A26" s="2">
        <v>2</v>
      </c>
      <c r="B26" s="23" t="s">
        <v>7</v>
      </c>
      <c r="C26" s="24">
        <f>FV($D$21,$A26*12,$D$19*-1)</f>
        <v>40841.440946467825</v>
      </c>
      <c r="D26" s="25">
        <f>C26*Rendimento_carteira</f>
        <v>363.48882442356364</v>
      </c>
    </row>
    <row r="27" spans="1:4" ht="20.100000000000001" customHeight="1" x14ac:dyDescent="0.25">
      <c r="A27" s="2">
        <v>5</v>
      </c>
      <c r="B27" s="17" t="s">
        <v>8</v>
      </c>
      <c r="C27" s="26">
        <f>FV($D$21,$A27*12,$D$19*-1)</f>
        <v>125665.37099773147</v>
      </c>
      <c r="D27" s="27">
        <f>C27*Rendimento_carteira</f>
        <v>1118.4218018798101</v>
      </c>
    </row>
    <row r="28" spans="1:4" ht="20.100000000000001" customHeight="1" x14ac:dyDescent="0.25">
      <c r="A28" s="2">
        <v>10</v>
      </c>
      <c r="B28" s="17" t="s">
        <v>9</v>
      </c>
      <c r="C28" s="26">
        <f>FV($D$21,$A28*12,$D$19*-1)</f>
        <v>364926.3187952583</v>
      </c>
      <c r="D28" s="27">
        <f>C28*Rendimento_carteira</f>
        <v>3247.8442372777986</v>
      </c>
    </row>
    <row r="29" spans="1:4" ht="20.100000000000001" customHeight="1" x14ac:dyDescent="0.25">
      <c r="A29" s="2">
        <v>20</v>
      </c>
      <c r="B29" s="17" t="s">
        <v>10</v>
      </c>
      <c r="C29" s="26">
        <f>FV($D$21,$A29*12,$D$19*-1)</f>
        <v>1687797.600145621</v>
      </c>
      <c r="D29" s="27">
        <f>C29*Rendimento_carteira</f>
        <v>15021.398641296028</v>
      </c>
    </row>
    <row r="30" spans="1:4" ht="20.100000000000001" customHeight="1" thickBot="1" x14ac:dyDescent="0.3">
      <c r="A30" s="2">
        <v>30</v>
      </c>
      <c r="B30" s="21" t="s">
        <v>11</v>
      </c>
      <c r="C30" s="28">
        <f>FV($D$21,$A30*12,$D$19*-1)</f>
        <v>6483254.4825070715</v>
      </c>
      <c r="D30" s="29">
        <f>C30*Rendimento_carteira</f>
        <v>57700.964894312936</v>
      </c>
    </row>
    <row r="31" spans="1:4" x14ac:dyDescent="0.25"/>
    <row r="32" spans="1:4" ht="20.100000000000001" customHeight="1" x14ac:dyDescent="0.25">
      <c r="B32" s="13" t="s">
        <v>16</v>
      </c>
      <c r="C32" s="12" t="s">
        <v>17</v>
      </c>
      <c r="D32" s="11"/>
    </row>
    <row r="33" spans="2:4" ht="17.100000000000001" customHeight="1" x14ac:dyDescent="0.25">
      <c r="B33" s="41" t="s">
        <v>18</v>
      </c>
      <c r="C33" s="42">
        <f>Aporte</f>
        <v>1500</v>
      </c>
      <c r="D33" s="5"/>
    </row>
    <row r="34" spans="2:4" x14ac:dyDescent="0.25"/>
    <row r="35" spans="2:4" x14ac:dyDescent="0.25">
      <c r="B35" s="6" t="s">
        <v>19</v>
      </c>
      <c r="C35" s="6" t="s">
        <v>26</v>
      </c>
      <c r="D35" s="6" t="s">
        <v>27</v>
      </c>
    </row>
    <row r="36" spans="2:4" x14ac:dyDescent="0.25">
      <c r="B36" s="1" t="s">
        <v>20</v>
      </c>
      <c r="C36" s="4">
        <f>VLOOKUP($C$32&amp;"-"&amp;B36,tbl_apoio!$B$3:$E$21,4,FALSE)</f>
        <v>0.3</v>
      </c>
      <c r="D36" s="10">
        <f>C36*$C$33</f>
        <v>450</v>
      </c>
    </row>
    <row r="37" spans="2:4" x14ac:dyDescent="0.25">
      <c r="B37" s="1" t="s">
        <v>21</v>
      </c>
      <c r="C37" s="4">
        <f>VLOOKUP($C$32&amp;"-"&amp;B37,tbl_apoio!$B$3:$E$21,4,FALSE)</f>
        <v>0.5</v>
      </c>
      <c r="D37" s="10">
        <f>C37*$C$33</f>
        <v>750</v>
      </c>
    </row>
    <row r="38" spans="2:4" x14ac:dyDescent="0.25">
      <c r="B38" s="1" t="s">
        <v>22</v>
      </c>
      <c r="C38" s="4">
        <f>VLOOKUP($C$32&amp;"-"&amp;B38,tbl_apoio!$B$3:$E$21,4,FALSE)</f>
        <v>0.1</v>
      </c>
      <c r="D38" s="10">
        <f t="shared" ref="D38:D41" si="0">C38*$C$33</f>
        <v>150</v>
      </c>
    </row>
    <row r="39" spans="2:4" x14ac:dyDescent="0.25">
      <c r="B39" s="1" t="s">
        <v>23</v>
      </c>
      <c r="C39" s="4">
        <f>VLOOKUP($C$32&amp;"-"&amp;B39,tbl_apoio!$B$3:$E$21,4,FALSE)</f>
        <v>0.1</v>
      </c>
      <c r="D39" s="10">
        <f t="shared" si="0"/>
        <v>150</v>
      </c>
    </row>
    <row r="40" spans="2:4" x14ac:dyDescent="0.25">
      <c r="B40" s="1" t="s">
        <v>24</v>
      </c>
      <c r="C40" s="4">
        <f>VLOOKUP($C$32&amp;"-"&amp;B40,tbl_apoio!$B$3:$E$21,4,FALSE)</f>
        <v>0</v>
      </c>
      <c r="D40" s="10">
        <f t="shared" si="0"/>
        <v>0</v>
      </c>
    </row>
    <row r="41" spans="2:4" x14ac:dyDescent="0.25">
      <c r="B41" s="1" t="s">
        <v>25</v>
      </c>
      <c r="C41" s="4">
        <f>VLOOKUP($C$32&amp;"-"&amp;B41,tbl_apoio!$B$3:$E$21,4,FALSE)</f>
        <v>0</v>
      </c>
      <c r="D41" s="10">
        <f t="shared" si="0"/>
        <v>0</v>
      </c>
    </row>
    <row r="42" spans="2:4" x14ac:dyDescent="0.25">
      <c r="B42" s="7"/>
      <c r="C42" s="8"/>
      <c r="D42" s="9">
        <f>SUM(D36:D41)</f>
        <v>1500</v>
      </c>
    </row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</sheetData>
  <mergeCells count="11">
    <mergeCell ref="B13:D13"/>
    <mergeCell ref="B14:C14"/>
    <mergeCell ref="B15:C15"/>
    <mergeCell ref="B16:C16"/>
    <mergeCell ref="B25:C25"/>
    <mergeCell ref="B18:D18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2" xr:uid="{AE2A737F-E22F-4A35-88B9-F264C3A0AE5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C3AC-6109-4AF7-ACF7-BA4ACCF12868}">
  <dimension ref="B3:E21"/>
  <sheetViews>
    <sheetView workbookViewId="0">
      <selection activeCell="F11" sqref="F11"/>
    </sheetView>
  </sheetViews>
  <sheetFormatPr defaultRowHeight="15" x14ac:dyDescent="0.25"/>
  <cols>
    <col min="1" max="1" width="2.42578125" customWidth="1"/>
    <col min="2" max="2" width="30.85546875" bestFit="1" customWidth="1"/>
    <col min="3" max="3" width="16.5703125" customWidth="1"/>
    <col min="4" max="4" width="18.5703125" bestFit="1" customWidth="1"/>
    <col min="5" max="5" width="12.7109375" customWidth="1"/>
  </cols>
  <sheetData>
    <row r="3" spans="2:5" x14ac:dyDescent="0.25">
      <c r="B3" s="32" t="s">
        <v>29</v>
      </c>
      <c r="C3" s="33" t="s">
        <v>16</v>
      </c>
      <c r="D3" s="34" t="s">
        <v>19</v>
      </c>
      <c r="E3" s="35" t="s">
        <v>28</v>
      </c>
    </row>
    <row r="4" spans="2:5" x14ac:dyDescent="0.25">
      <c r="B4" s="36" t="str">
        <f>$C$4&amp;"-"&amp;D4</f>
        <v>Conservador-PAPEL</v>
      </c>
      <c r="C4" t="s">
        <v>17</v>
      </c>
      <c r="D4" s="37" t="s">
        <v>20</v>
      </c>
      <c r="E4" s="38">
        <v>0.3</v>
      </c>
    </row>
    <row r="5" spans="2:5" x14ac:dyDescent="0.25">
      <c r="B5" s="36" t="str">
        <f t="shared" ref="B5:B9" si="0">$C$4&amp;"-"&amp;D5</f>
        <v>Conservador-TIJOLO</v>
      </c>
      <c r="C5" t="s">
        <v>17</v>
      </c>
      <c r="D5" s="37" t="s">
        <v>21</v>
      </c>
      <c r="E5" s="38">
        <v>0.5</v>
      </c>
    </row>
    <row r="6" spans="2:5" x14ac:dyDescent="0.25">
      <c r="B6" s="36" t="str">
        <f t="shared" si="0"/>
        <v>Conservador-HÍBRIDOS</v>
      </c>
      <c r="C6" t="s">
        <v>17</v>
      </c>
      <c r="D6" s="37" t="s">
        <v>22</v>
      </c>
      <c r="E6" s="38">
        <v>0.1</v>
      </c>
    </row>
    <row r="7" spans="2:5" x14ac:dyDescent="0.25">
      <c r="B7" s="36" t="str">
        <f t="shared" si="0"/>
        <v>Conservador-FOFs</v>
      </c>
      <c r="C7" t="s">
        <v>17</v>
      </c>
      <c r="D7" s="37" t="s">
        <v>23</v>
      </c>
      <c r="E7" s="38">
        <v>0.1</v>
      </c>
    </row>
    <row r="8" spans="2:5" x14ac:dyDescent="0.25">
      <c r="B8" s="36" t="str">
        <f t="shared" si="0"/>
        <v>Conservador-DESENVOLVIMENTO</v>
      </c>
      <c r="C8" t="s">
        <v>17</v>
      </c>
      <c r="D8" s="37" t="s">
        <v>24</v>
      </c>
      <c r="E8" s="38">
        <v>0</v>
      </c>
    </row>
    <row r="9" spans="2:5" x14ac:dyDescent="0.25">
      <c r="B9" s="39" t="str">
        <f t="shared" si="0"/>
        <v>Conservador-HOTELARIAS</v>
      </c>
      <c r="C9" s="30" t="s">
        <v>17</v>
      </c>
      <c r="D9" s="31" t="s">
        <v>25</v>
      </c>
      <c r="E9" s="40">
        <v>0</v>
      </c>
    </row>
    <row r="10" spans="2:5" x14ac:dyDescent="0.25">
      <c r="B10" s="36" t="str">
        <f>$C$10&amp;"-"&amp;D10</f>
        <v>Moderado-PAPEL</v>
      </c>
      <c r="C10" t="s">
        <v>30</v>
      </c>
      <c r="D10" s="37" t="s">
        <v>20</v>
      </c>
      <c r="E10" s="38">
        <v>0.32</v>
      </c>
    </row>
    <row r="11" spans="2:5" x14ac:dyDescent="0.25">
      <c r="B11" s="36" t="str">
        <f t="shared" ref="B11:B15" si="1">$C$10&amp;"-"&amp;D11</f>
        <v>Moderado-TIJOLO</v>
      </c>
      <c r="C11" t="s">
        <v>30</v>
      </c>
      <c r="D11" s="37" t="s">
        <v>21</v>
      </c>
      <c r="E11" s="38">
        <v>0.35</v>
      </c>
    </row>
    <row r="12" spans="2:5" x14ac:dyDescent="0.25">
      <c r="B12" s="36" t="str">
        <f t="shared" si="1"/>
        <v>Moderado-HÍBRIDOS</v>
      </c>
      <c r="C12" t="s">
        <v>30</v>
      </c>
      <c r="D12" s="37" t="s">
        <v>22</v>
      </c>
      <c r="E12" s="38">
        <v>0.08</v>
      </c>
    </row>
    <row r="13" spans="2:5" x14ac:dyDescent="0.25">
      <c r="B13" s="36" t="str">
        <f t="shared" si="1"/>
        <v>Moderado-FOFs</v>
      </c>
      <c r="C13" t="s">
        <v>30</v>
      </c>
      <c r="D13" s="37" t="s">
        <v>23</v>
      </c>
      <c r="E13" s="38">
        <v>0.05</v>
      </c>
    </row>
    <row r="14" spans="2:5" x14ac:dyDescent="0.25">
      <c r="B14" s="36" t="str">
        <f t="shared" si="1"/>
        <v>Moderado-DESENVOLVIMENTO</v>
      </c>
      <c r="C14" t="s">
        <v>30</v>
      </c>
      <c r="D14" s="37" t="s">
        <v>24</v>
      </c>
      <c r="E14" s="38">
        <v>0.1</v>
      </c>
    </row>
    <row r="15" spans="2:5" x14ac:dyDescent="0.25">
      <c r="B15" s="39" t="str">
        <f t="shared" si="1"/>
        <v>Moderado-HOTELARIAS</v>
      </c>
      <c r="C15" s="30" t="s">
        <v>30</v>
      </c>
      <c r="D15" s="31" t="s">
        <v>25</v>
      </c>
      <c r="E15" s="40">
        <v>0.1</v>
      </c>
    </row>
    <row r="16" spans="2:5" x14ac:dyDescent="0.25">
      <c r="B16" s="36" t="str">
        <f>$C$16&amp;"-"&amp;D16</f>
        <v>Agressivo-PAPEL</v>
      </c>
      <c r="C16" t="s">
        <v>31</v>
      </c>
      <c r="D16" s="37" t="s">
        <v>20</v>
      </c>
      <c r="E16" s="38">
        <v>0.5</v>
      </c>
    </row>
    <row r="17" spans="2:5" x14ac:dyDescent="0.25">
      <c r="B17" s="36" t="str">
        <f t="shared" ref="B17:B21" si="2">$C$16&amp;"-"&amp;D17</f>
        <v>Agressivo-TIJOLO</v>
      </c>
      <c r="C17" t="s">
        <v>31</v>
      </c>
      <c r="D17" s="37" t="s">
        <v>21</v>
      </c>
      <c r="E17" s="38">
        <v>0.1</v>
      </c>
    </row>
    <row r="18" spans="2:5" x14ac:dyDescent="0.25">
      <c r="B18" s="36" t="str">
        <f t="shared" si="2"/>
        <v>Agressivo-HÍBRIDOS</v>
      </c>
      <c r="C18" t="s">
        <v>31</v>
      </c>
      <c r="D18" s="37" t="s">
        <v>22</v>
      </c>
      <c r="E18" s="38">
        <v>0.05</v>
      </c>
    </row>
    <row r="19" spans="2:5" x14ac:dyDescent="0.25">
      <c r="B19" s="36" t="str">
        <f t="shared" si="2"/>
        <v>Agressivo-FOFs</v>
      </c>
      <c r="C19" t="s">
        <v>31</v>
      </c>
      <c r="D19" s="37" t="s">
        <v>23</v>
      </c>
      <c r="E19" s="38">
        <v>0.05</v>
      </c>
    </row>
    <row r="20" spans="2:5" x14ac:dyDescent="0.25">
      <c r="B20" s="36" t="str">
        <f t="shared" si="2"/>
        <v>Agressivo-DESENVOLVIMENTO</v>
      </c>
      <c r="C20" t="s">
        <v>31</v>
      </c>
      <c r="D20" s="37" t="s">
        <v>24</v>
      </c>
      <c r="E20" s="38">
        <v>0.2</v>
      </c>
    </row>
    <row r="21" spans="2:5" x14ac:dyDescent="0.25">
      <c r="B21" s="39" t="str">
        <f t="shared" si="2"/>
        <v>Agressivo-HOTELARIAS</v>
      </c>
      <c r="C21" s="30" t="s">
        <v>31</v>
      </c>
      <c r="D21" s="31" t="s">
        <v>25</v>
      </c>
      <c r="E21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tbl_apoio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Santos</dc:creator>
  <cp:lastModifiedBy>Ana Santos</cp:lastModifiedBy>
  <dcterms:created xsi:type="dcterms:W3CDTF">2026-09-24T18:21:07Z</dcterms:created>
  <dcterms:modified xsi:type="dcterms:W3CDTF">2026-09-25T16:20:25Z</dcterms:modified>
</cp:coreProperties>
</file>